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0475" yWindow="1620" windowWidth="1785" windowHeight="12120" tabRatio="500"/>
  </bookViews>
  <sheets>
    <sheet name="PCCXCRMFaculty.xls" sheetId="1" r:id="rId1"/>
  </sheets>
  <calcPr calcId="124519"/>
</workbook>
</file>

<file path=xl/calcChain.xml><?xml version="1.0" encoding="utf-8"?>
<calcChain xmlns="http://schemas.openxmlformats.org/spreadsheetml/2006/main"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2"/>
  <c r="M48"/>
  <c r="B3"/>
  <c r="B5"/>
  <c r="B6"/>
  <c r="B7"/>
  <c r="B8"/>
  <c r="B9"/>
  <c r="B10"/>
  <c r="B11"/>
  <c r="B12"/>
  <c r="B13"/>
  <c r="B14"/>
  <c r="B15"/>
  <c r="B16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2"/>
  <c r="O45" l="1"/>
  <c r="O9"/>
  <c r="O41"/>
  <c r="O37"/>
  <c r="O30"/>
  <c r="O26"/>
  <c r="O18"/>
  <c r="O7"/>
  <c r="O40"/>
  <c r="O36"/>
  <c r="O33"/>
  <c r="O25"/>
  <c r="O21"/>
  <c r="O17"/>
  <c r="O6"/>
  <c r="O4"/>
  <c r="O14"/>
  <c r="O2"/>
  <c r="O42"/>
  <c r="O38"/>
  <c r="O43"/>
  <c r="O34"/>
  <c r="O32"/>
  <c r="O28"/>
  <c r="O24"/>
  <c r="O22"/>
  <c r="O15"/>
  <c r="O13"/>
  <c r="O31"/>
  <c r="O29"/>
  <c r="O19"/>
  <c r="O16"/>
  <c r="O12"/>
  <c r="O10"/>
  <c r="O3"/>
  <c r="O8"/>
  <c r="O11"/>
  <c r="O46"/>
  <c r="O44"/>
  <c r="O35"/>
  <c r="O27"/>
  <c r="O23"/>
  <c r="O5"/>
  <c r="O47"/>
  <c r="O39"/>
  <c r="O20"/>
  <c r="O48" l="1"/>
  <c r="O49"/>
</calcChain>
</file>

<file path=xl/sharedStrings.xml><?xml version="1.0" encoding="utf-8"?>
<sst xmlns="http://schemas.openxmlformats.org/spreadsheetml/2006/main" count="77" uniqueCount="73">
  <si>
    <t>Name</t>
  </si>
  <si>
    <t>Armas, Andrew Miguel</t>
  </si>
  <si>
    <t>Best, Robert Edward</t>
  </si>
  <si>
    <t>Bolton, Donald Edward</t>
  </si>
  <si>
    <t>Bullock, Ian Merrill</t>
  </si>
  <si>
    <t>Butters, Scott Charles</t>
  </si>
  <si>
    <t>Cho, Corinne Myung</t>
  </si>
  <si>
    <t>Davidson, Marc Stuart Specter</t>
  </si>
  <si>
    <t>Downs, Bryan S.</t>
  </si>
  <si>
    <t>Drenick, Chelsea Christina</t>
  </si>
  <si>
    <t>Ducey, Wesley Thomas</t>
  </si>
  <si>
    <t>Duenas, Shawn Michael</t>
  </si>
  <si>
    <t>Foli, Elorm Kodzo</t>
  </si>
  <si>
    <t>Grammar, Alex William</t>
  </si>
  <si>
    <t>Hasegawa, Nicolas Takeshi</t>
  </si>
  <si>
    <t>Herschler, Gregory Leonard</t>
  </si>
  <si>
    <t>Honda, Masanori</t>
  </si>
  <si>
    <t>Jo, Jin-Soo</t>
  </si>
  <si>
    <t>Jones, Nathan Charles</t>
  </si>
  <si>
    <t>Karras, Jaakko Tapio</t>
  </si>
  <si>
    <t>Keller, Benjamin Andrew</t>
  </si>
  <si>
    <t>Khan, Mobashwir Hasan</t>
  </si>
  <si>
    <t>Kim, Seung Kyu</t>
  </si>
  <si>
    <t>King, Kevin Patrick</t>
  </si>
  <si>
    <t>Koo, Bonchull Chris</t>
  </si>
  <si>
    <t>Lee, Austin Andrew Terrence</t>
  </si>
  <si>
    <t>Lee, Michael Andrew</t>
  </si>
  <si>
    <t>Lee, Sangho</t>
  </si>
  <si>
    <t>Lim, Chen Kwei</t>
  </si>
  <si>
    <t>Lin, Jeffrey</t>
  </si>
  <si>
    <t>Margolis, Benjamin William</t>
  </si>
  <si>
    <t>McNeece, Michael Patrick</t>
  </si>
  <si>
    <t>Nitzan, Sarah Hilton</t>
  </si>
  <si>
    <t>Pham, Megan Tuyet-Dan</t>
  </si>
  <si>
    <t>Pierson, Alyssa Nicole</t>
  </si>
  <si>
    <t>Pozo, Andrew Carlos</t>
  </si>
  <si>
    <t>Quinn, William Kenneth</t>
  </si>
  <si>
    <t>Randall, Alex Ryan</t>
  </si>
  <si>
    <t>Scheulen, Florian</t>
  </si>
  <si>
    <t>Scrima, Dorian Robert</t>
  </si>
  <si>
    <t>Simkin, Jonathan Charles</t>
  </si>
  <si>
    <t>Smith, Scott Allan</t>
  </si>
  <si>
    <t>Wang, Jason Herng</t>
  </si>
  <si>
    <t>Zellinger, Louis Charles</t>
  </si>
  <si>
    <t>Zhang, Clark Anjie</t>
  </si>
  <si>
    <t>HW1</t>
    <phoneticPr fontId="1" type="noConversion"/>
  </si>
  <si>
    <t>HW2</t>
    <phoneticPr fontId="1" type="noConversion"/>
  </si>
  <si>
    <t>HW3</t>
    <phoneticPr fontId="1" type="noConversion"/>
  </si>
  <si>
    <t>HW4</t>
    <phoneticPr fontId="1" type="noConversion"/>
  </si>
  <si>
    <t>HW5</t>
    <phoneticPr fontId="1" type="noConversion"/>
  </si>
  <si>
    <t>HW6</t>
    <phoneticPr fontId="1" type="noConversion"/>
  </si>
  <si>
    <t>HW7</t>
    <phoneticPr fontId="1" type="noConversion"/>
  </si>
  <si>
    <t>HW8</t>
    <phoneticPr fontId="1" type="noConversion"/>
  </si>
  <si>
    <t>Points in each Hw</t>
    <phoneticPr fontId="1" type="noConversion"/>
  </si>
  <si>
    <t>Bobrowsky, Daniel</t>
    <phoneticPr fontId="1" type="noConversion"/>
  </si>
  <si>
    <t>Ellis, Betsy</t>
    <phoneticPr fontId="1" type="noConversion"/>
  </si>
  <si>
    <t>Late on Same Day</t>
    <phoneticPr fontId="1" type="noConversion"/>
  </si>
  <si>
    <t>hw4</t>
    <phoneticPr fontId="1" type="noConversion"/>
  </si>
  <si>
    <t>Reminded Late</t>
    <phoneticPr fontId="1" type="noConversion"/>
  </si>
  <si>
    <t>Extension</t>
    <phoneticPr fontId="1" type="noConversion"/>
  </si>
  <si>
    <t>hw4</t>
    <phoneticPr fontId="1" type="noConversion"/>
  </si>
  <si>
    <t>Total (sum)</t>
    <phoneticPr fontId="1" type="noConversion"/>
  </si>
  <si>
    <t>Total (evenly weighted all hws)</t>
    <phoneticPr fontId="1" type="noConversion"/>
  </si>
  <si>
    <t>High Total</t>
    <phoneticPr fontId="1" type="noConversion"/>
  </si>
  <si>
    <t>AVG</t>
    <phoneticPr fontId="1" type="noConversion"/>
  </si>
  <si>
    <t>STD</t>
    <phoneticPr fontId="1" type="noConversion"/>
  </si>
  <si>
    <t>hw5</t>
    <phoneticPr fontId="1" type="noConversion"/>
  </si>
  <si>
    <t xml:space="preserve">hw 8 </t>
    <phoneticPr fontId="1" type="noConversion"/>
  </si>
  <si>
    <t>hw 8</t>
    <phoneticPr fontId="1" type="noConversion"/>
  </si>
  <si>
    <t>HW9</t>
    <phoneticPr fontId="1" type="noConversion"/>
  </si>
  <si>
    <t>HW10</t>
    <phoneticPr fontId="1" type="noConversion"/>
  </si>
  <si>
    <t>HW11</t>
    <phoneticPr fontId="1" type="noConversion"/>
  </si>
  <si>
    <t>hw11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</si>
</sst>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9"/>
      <name val="細明體"/>
      <family val="3"/>
      <charset val="136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>
      <pane ySplit="1" topLeftCell="A2" activePane="bottomLeft" state="frozen"/>
      <selection pane="bottomLeft" activeCell="O4" sqref="O4"/>
    </sheetView>
  </sheetViews>
  <sheetFormatPr defaultColWidth="11" defaultRowHeight="12.75"/>
  <cols>
    <col min="1" max="1" width="27" customWidth="1"/>
    <col min="2" max="2" width="5.75" customWidth="1"/>
    <col min="3" max="3" width="5.375" customWidth="1"/>
    <col min="4" max="4" width="5.25" customWidth="1"/>
    <col min="5" max="5" width="6" customWidth="1"/>
    <col min="6" max="7" width="5.375" customWidth="1"/>
    <col min="8" max="10" width="5.5" customWidth="1"/>
    <col min="11" max="11" width="6.5" customWidth="1"/>
    <col min="12" max="12" width="5.625" customWidth="1"/>
    <col min="13" max="13" width="10.75" customWidth="1"/>
    <col min="14" max="14" width="12.125" customWidth="1"/>
    <col min="15" max="15" width="10.375" customWidth="1"/>
    <col min="16" max="16" width="15.625" customWidth="1"/>
    <col min="17" max="17" width="12.75" customWidth="1"/>
  </cols>
  <sheetData>
    <row r="1" spans="1:18" ht="18" customHeight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69</v>
      </c>
      <c r="K1" t="s">
        <v>70</v>
      </c>
      <c r="L1" t="s">
        <v>71</v>
      </c>
      <c r="M1" t="s">
        <v>61</v>
      </c>
      <c r="N1" t="s">
        <v>62</v>
      </c>
      <c r="O1" t="s">
        <v>63</v>
      </c>
      <c r="P1" t="s">
        <v>56</v>
      </c>
      <c r="Q1" t="s">
        <v>58</v>
      </c>
      <c r="R1" t="s">
        <v>59</v>
      </c>
    </row>
    <row r="2" spans="1:18" ht="18" customHeight="1">
      <c r="A2" t="s">
        <v>1</v>
      </c>
      <c r="B2">
        <f>21</f>
        <v>21</v>
      </c>
      <c r="C2">
        <v>27</v>
      </c>
      <c r="D2">
        <v>34</v>
      </c>
      <c r="E2">
        <v>30</v>
      </c>
      <c r="F2">
        <v>24</v>
      </c>
      <c r="G2">
        <v>23</v>
      </c>
      <c r="H2">
        <v>27</v>
      </c>
      <c r="I2">
        <v>42</v>
      </c>
      <c r="J2">
        <v>34</v>
      </c>
      <c r="K2">
        <v>21</v>
      </c>
      <c r="L2">
        <v>28</v>
      </c>
      <c r="M2" s="1">
        <f>SUM(B2:L2)/332</f>
        <v>0.93674698795180722</v>
      </c>
      <c r="N2" s="1">
        <f>(B2/23+C2/30+D2/35+E2/31+F2/26+G2/25+H2/28+I2/48+J2/34+K2/21+L2/31)/11</f>
        <v>0.93980022081705106</v>
      </c>
      <c r="O2" s="1">
        <f>MAX(M2:N2)</f>
        <v>0.93980022081705106</v>
      </c>
    </row>
    <row r="3" spans="1:18" ht="18" customHeight="1">
      <c r="A3" t="s">
        <v>2</v>
      </c>
      <c r="B3">
        <f>23</f>
        <v>23</v>
      </c>
      <c r="C3">
        <v>29</v>
      </c>
      <c r="D3">
        <v>29</v>
      </c>
      <c r="E3">
        <v>31</v>
      </c>
      <c r="F3">
        <v>24</v>
      </c>
      <c r="G3">
        <v>23</v>
      </c>
      <c r="H3">
        <v>27</v>
      </c>
      <c r="I3">
        <v>36</v>
      </c>
      <c r="J3">
        <v>34</v>
      </c>
      <c r="K3">
        <v>19</v>
      </c>
      <c r="L3">
        <v>30</v>
      </c>
      <c r="M3" s="1">
        <f t="shared" ref="M3:M47" si="0">SUM(B3:L3)/332</f>
        <v>0.91867469879518071</v>
      </c>
      <c r="N3" s="1">
        <f t="shared" ref="N3:N47" si="1">(B3/23+C3/30+D3/35+E3/31+F3/26+G3/25+H3/28+I3/48+J3/34+K3/21+L3/31)/11</f>
        <v>0.9295549611678644</v>
      </c>
      <c r="O3" s="1">
        <f t="shared" ref="O3:O47" si="2">MAX(M3:N3)</f>
        <v>0.9295549611678644</v>
      </c>
    </row>
    <row r="4" spans="1:18" ht="18" customHeight="1">
      <c r="A4" t="s">
        <v>54</v>
      </c>
      <c r="B4">
        <v>22</v>
      </c>
      <c r="C4">
        <v>25</v>
      </c>
      <c r="D4">
        <v>28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f t="shared" si="0"/>
        <v>0.26506024096385544</v>
      </c>
      <c r="N4" s="1">
        <f t="shared" si="1"/>
        <v>0.27356453737940417</v>
      </c>
      <c r="O4" s="1">
        <f t="shared" si="2"/>
        <v>0.27356453737940417</v>
      </c>
    </row>
    <row r="5" spans="1:18" ht="18" customHeight="1">
      <c r="A5" t="s">
        <v>3</v>
      </c>
      <c r="B5">
        <f>20</f>
        <v>20</v>
      </c>
      <c r="C5">
        <v>29</v>
      </c>
      <c r="D5">
        <v>33</v>
      </c>
      <c r="E5">
        <v>29</v>
      </c>
      <c r="F5">
        <v>23</v>
      </c>
      <c r="G5">
        <v>23</v>
      </c>
      <c r="H5">
        <v>27</v>
      </c>
      <c r="I5">
        <v>48</v>
      </c>
      <c r="J5">
        <v>33</v>
      </c>
      <c r="K5">
        <v>21</v>
      </c>
      <c r="L5">
        <v>31</v>
      </c>
      <c r="M5" s="1">
        <f t="shared" si="0"/>
        <v>0.95481927710843373</v>
      </c>
      <c r="N5" s="1">
        <f t="shared" si="1"/>
        <v>0.95036929382527913</v>
      </c>
      <c r="O5" s="1">
        <f t="shared" si="2"/>
        <v>0.95481927710843373</v>
      </c>
    </row>
    <row r="6" spans="1:18" ht="18" customHeight="1">
      <c r="A6" t="s">
        <v>4</v>
      </c>
      <c r="B6">
        <f>19</f>
        <v>19</v>
      </c>
      <c r="C6">
        <v>30</v>
      </c>
      <c r="D6">
        <v>30</v>
      </c>
      <c r="E6">
        <v>31</v>
      </c>
      <c r="F6">
        <v>23</v>
      </c>
      <c r="G6">
        <v>24</v>
      </c>
      <c r="H6">
        <v>27</v>
      </c>
      <c r="I6">
        <v>47</v>
      </c>
      <c r="J6">
        <v>34</v>
      </c>
      <c r="K6">
        <v>19</v>
      </c>
      <c r="L6">
        <v>31</v>
      </c>
      <c r="M6" s="1">
        <f t="shared" si="0"/>
        <v>0.9487951807228916</v>
      </c>
      <c r="N6" s="1">
        <f t="shared" si="1"/>
        <v>0.94327813490856982</v>
      </c>
      <c r="O6" s="1">
        <f t="shared" si="2"/>
        <v>0.9487951807228916</v>
      </c>
    </row>
    <row r="7" spans="1:18" ht="18" customHeight="1">
      <c r="A7" t="s">
        <v>5</v>
      </c>
      <c r="B7">
        <f>21</f>
        <v>21</v>
      </c>
      <c r="C7">
        <v>30</v>
      </c>
      <c r="D7">
        <v>25</v>
      </c>
      <c r="E7">
        <v>19</v>
      </c>
      <c r="F7">
        <v>18</v>
      </c>
      <c r="G7">
        <v>22</v>
      </c>
      <c r="H7">
        <v>20</v>
      </c>
      <c r="I7">
        <v>27</v>
      </c>
      <c r="J7">
        <v>28</v>
      </c>
      <c r="K7">
        <v>20</v>
      </c>
      <c r="L7">
        <v>27</v>
      </c>
      <c r="M7" s="1">
        <f t="shared" si="0"/>
        <v>0.77409638554216864</v>
      </c>
      <c r="N7" s="1">
        <f t="shared" si="1"/>
        <v>0.79420035736614392</v>
      </c>
      <c r="O7" s="1">
        <f t="shared" si="2"/>
        <v>0.79420035736614392</v>
      </c>
    </row>
    <row r="8" spans="1:18" ht="18" customHeight="1">
      <c r="A8" t="s">
        <v>6</v>
      </c>
      <c r="B8">
        <f>21</f>
        <v>21</v>
      </c>
      <c r="C8">
        <v>29</v>
      </c>
      <c r="D8">
        <v>31</v>
      </c>
      <c r="E8">
        <v>31</v>
      </c>
      <c r="F8">
        <v>21</v>
      </c>
      <c r="G8">
        <v>24</v>
      </c>
      <c r="H8">
        <v>24</v>
      </c>
      <c r="I8">
        <v>48</v>
      </c>
      <c r="J8">
        <v>34</v>
      </c>
      <c r="K8">
        <v>21</v>
      </c>
      <c r="L8">
        <v>30</v>
      </c>
      <c r="M8" s="1">
        <f t="shared" si="0"/>
        <v>0.94578313253012047</v>
      </c>
      <c r="N8" s="1">
        <f t="shared" si="1"/>
        <v>0.94163650281462352</v>
      </c>
      <c r="O8" s="1">
        <f t="shared" si="2"/>
        <v>0.94578313253012047</v>
      </c>
    </row>
    <row r="9" spans="1:18" ht="18" customHeight="1">
      <c r="A9" t="s">
        <v>7</v>
      </c>
      <c r="B9">
        <f>20</f>
        <v>20</v>
      </c>
      <c r="C9">
        <v>30</v>
      </c>
      <c r="D9">
        <v>33</v>
      </c>
      <c r="E9">
        <v>31</v>
      </c>
      <c r="F9">
        <v>25</v>
      </c>
      <c r="G9">
        <v>24</v>
      </c>
      <c r="H9">
        <v>25</v>
      </c>
      <c r="I9">
        <v>44</v>
      </c>
      <c r="J9">
        <v>34</v>
      </c>
      <c r="K9">
        <v>21</v>
      </c>
      <c r="L9">
        <v>20</v>
      </c>
      <c r="M9" s="1">
        <f t="shared" si="0"/>
        <v>0.92469879518072284</v>
      </c>
      <c r="N9" s="1">
        <f t="shared" si="1"/>
        <v>0.92624053833029985</v>
      </c>
      <c r="O9" s="1">
        <f t="shared" si="2"/>
        <v>0.92624053833029985</v>
      </c>
    </row>
    <row r="10" spans="1:18" ht="18" customHeight="1">
      <c r="A10" t="s">
        <v>8</v>
      </c>
      <c r="B10">
        <f>11</f>
        <v>11</v>
      </c>
      <c r="C10">
        <v>24</v>
      </c>
      <c r="D10">
        <v>21</v>
      </c>
      <c r="E10">
        <v>26</v>
      </c>
      <c r="F10">
        <v>16</v>
      </c>
      <c r="G10">
        <v>14</v>
      </c>
      <c r="H10">
        <v>2</v>
      </c>
      <c r="I10">
        <v>33</v>
      </c>
      <c r="J10">
        <v>21</v>
      </c>
      <c r="K10">
        <v>14</v>
      </c>
      <c r="L10">
        <v>30</v>
      </c>
      <c r="M10" s="1">
        <f t="shared" si="0"/>
        <v>0.63855421686746983</v>
      </c>
      <c r="N10" s="1">
        <f t="shared" si="1"/>
        <v>0.62757630861562064</v>
      </c>
      <c r="O10" s="1">
        <f t="shared" si="2"/>
        <v>0.63855421686746983</v>
      </c>
    </row>
    <row r="11" spans="1:18" ht="18" customHeight="1">
      <c r="A11" t="s">
        <v>9</v>
      </c>
      <c r="B11">
        <f>22</f>
        <v>22</v>
      </c>
      <c r="C11">
        <v>27</v>
      </c>
      <c r="D11">
        <v>31</v>
      </c>
      <c r="E11">
        <v>30</v>
      </c>
      <c r="F11">
        <v>22</v>
      </c>
      <c r="G11">
        <v>24</v>
      </c>
      <c r="H11">
        <v>24</v>
      </c>
      <c r="I11">
        <v>48</v>
      </c>
      <c r="J11">
        <v>33</v>
      </c>
      <c r="K11">
        <v>17</v>
      </c>
      <c r="L11">
        <v>31</v>
      </c>
      <c r="M11" s="1">
        <f t="shared" si="0"/>
        <v>0.93072289156626509</v>
      </c>
      <c r="N11" s="1">
        <f t="shared" si="1"/>
        <v>0.92303515531302016</v>
      </c>
      <c r="O11" s="1">
        <f t="shared" si="2"/>
        <v>0.93072289156626509</v>
      </c>
    </row>
    <row r="12" spans="1:18" ht="18" customHeight="1">
      <c r="A12" t="s">
        <v>10</v>
      </c>
      <c r="B12">
        <f>23</f>
        <v>23</v>
      </c>
      <c r="C12">
        <v>28</v>
      </c>
      <c r="D12">
        <v>35</v>
      </c>
      <c r="E12">
        <v>30</v>
      </c>
      <c r="F12">
        <v>25</v>
      </c>
      <c r="G12">
        <v>22</v>
      </c>
      <c r="H12">
        <v>0</v>
      </c>
      <c r="I12">
        <v>0</v>
      </c>
      <c r="J12">
        <v>0</v>
      </c>
      <c r="K12">
        <v>0</v>
      </c>
      <c r="L12">
        <v>0</v>
      </c>
      <c r="M12" s="1">
        <f t="shared" si="0"/>
        <v>0.49096385542168675</v>
      </c>
      <c r="N12" s="1">
        <f t="shared" si="1"/>
        <v>0.52205579366869692</v>
      </c>
      <c r="O12" s="1">
        <f t="shared" si="2"/>
        <v>0.52205579366869692</v>
      </c>
    </row>
    <row r="13" spans="1:18" ht="18" customHeight="1">
      <c r="A13" t="s">
        <v>11</v>
      </c>
      <c r="B13">
        <f>20</f>
        <v>20</v>
      </c>
      <c r="C13">
        <v>30</v>
      </c>
      <c r="D13">
        <v>33</v>
      </c>
      <c r="E13">
        <v>20</v>
      </c>
      <c r="F13">
        <v>12</v>
      </c>
      <c r="G13">
        <v>22</v>
      </c>
      <c r="H13">
        <v>23</v>
      </c>
      <c r="I13">
        <v>0</v>
      </c>
      <c r="J13">
        <v>33</v>
      </c>
      <c r="K13">
        <v>21</v>
      </c>
      <c r="L13">
        <v>25</v>
      </c>
      <c r="M13" s="1">
        <f t="shared" si="0"/>
        <v>0.71987951807228912</v>
      </c>
      <c r="N13" s="1">
        <f t="shared" si="1"/>
        <v>0.76341732106685489</v>
      </c>
      <c r="O13" s="1">
        <f t="shared" si="2"/>
        <v>0.76341732106685489</v>
      </c>
    </row>
    <row r="14" spans="1:18" ht="18" customHeight="1">
      <c r="A14" t="s">
        <v>55</v>
      </c>
      <c r="B14">
        <f>17</f>
        <v>17</v>
      </c>
      <c r="C14">
        <v>24</v>
      </c>
      <c r="D14">
        <v>27</v>
      </c>
      <c r="E14">
        <v>22</v>
      </c>
      <c r="F14">
        <v>20</v>
      </c>
      <c r="G14">
        <v>22</v>
      </c>
      <c r="H14">
        <v>21</v>
      </c>
      <c r="I14">
        <v>35</v>
      </c>
      <c r="J14">
        <v>32</v>
      </c>
      <c r="K14">
        <v>18</v>
      </c>
      <c r="L14">
        <v>0</v>
      </c>
      <c r="M14" s="1">
        <f t="shared" si="0"/>
        <v>0.7168674698795181</v>
      </c>
      <c r="N14" s="1">
        <f t="shared" si="1"/>
        <v>0.72245028992677696</v>
      </c>
      <c r="O14" s="1">
        <f t="shared" si="2"/>
        <v>0.72245028992677696</v>
      </c>
    </row>
    <row r="15" spans="1:18" ht="18" customHeight="1">
      <c r="A15" t="s">
        <v>12</v>
      </c>
      <c r="B15">
        <f>19</f>
        <v>19</v>
      </c>
      <c r="C15">
        <v>22</v>
      </c>
      <c r="D15">
        <v>25</v>
      </c>
      <c r="E15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18</v>
      </c>
      <c r="L15">
        <v>0</v>
      </c>
      <c r="M15" s="1">
        <f t="shared" si="0"/>
        <v>0.33734939759036142</v>
      </c>
      <c r="N15" s="1">
        <f t="shared" si="1"/>
        <v>0.36673406070320519</v>
      </c>
      <c r="O15" s="1">
        <f t="shared" si="2"/>
        <v>0.36673406070320519</v>
      </c>
    </row>
    <row r="16" spans="1:18" ht="18" customHeight="1">
      <c r="A16" t="s">
        <v>13</v>
      </c>
      <c r="B16">
        <f>21</f>
        <v>21</v>
      </c>
      <c r="C16">
        <v>29</v>
      </c>
      <c r="D16">
        <v>25</v>
      </c>
      <c r="E16">
        <v>8</v>
      </c>
      <c r="F16">
        <v>9</v>
      </c>
      <c r="G16">
        <v>23</v>
      </c>
      <c r="H16">
        <v>18</v>
      </c>
      <c r="I16">
        <v>27</v>
      </c>
      <c r="J16">
        <v>20</v>
      </c>
      <c r="K16">
        <v>0</v>
      </c>
      <c r="L16">
        <v>0</v>
      </c>
      <c r="M16" s="1">
        <f t="shared" si="0"/>
        <v>0.54216867469879515</v>
      </c>
      <c r="N16" s="1">
        <f t="shared" si="1"/>
        <v>0.53743696895190174</v>
      </c>
      <c r="O16" s="1">
        <f t="shared" si="2"/>
        <v>0.54216867469879515</v>
      </c>
    </row>
    <row r="17" spans="1:17" ht="18" customHeight="1">
      <c r="A17" t="s">
        <v>14</v>
      </c>
      <c r="B17">
        <v>21</v>
      </c>
      <c r="C17">
        <v>20</v>
      </c>
      <c r="D17">
        <v>29</v>
      </c>
      <c r="E17">
        <v>31</v>
      </c>
      <c r="F17">
        <v>21</v>
      </c>
      <c r="G17">
        <v>24</v>
      </c>
      <c r="H17">
        <v>18</v>
      </c>
      <c r="I17">
        <v>46</v>
      </c>
      <c r="J17">
        <v>34</v>
      </c>
      <c r="K17">
        <v>15</v>
      </c>
      <c r="L17">
        <v>30</v>
      </c>
      <c r="M17" s="1">
        <f t="shared" si="0"/>
        <v>0.87048192771084343</v>
      </c>
      <c r="N17" s="1">
        <f t="shared" si="1"/>
        <v>0.85992654610466668</v>
      </c>
      <c r="O17" s="1">
        <f t="shared" si="2"/>
        <v>0.87048192771084343</v>
      </c>
    </row>
    <row r="18" spans="1:17" ht="18" customHeight="1">
      <c r="A18" t="s">
        <v>15</v>
      </c>
      <c r="B18">
        <f>22</f>
        <v>22</v>
      </c>
      <c r="C18">
        <v>30</v>
      </c>
      <c r="D18">
        <v>34</v>
      </c>
      <c r="E18">
        <v>27</v>
      </c>
      <c r="F18">
        <v>20</v>
      </c>
      <c r="G18">
        <v>24</v>
      </c>
      <c r="H18">
        <v>28</v>
      </c>
      <c r="I18">
        <v>44</v>
      </c>
      <c r="J18">
        <v>34</v>
      </c>
      <c r="K18">
        <v>16</v>
      </c>
      <c r="L18">
        <v>31</v>
      </c>
      <c r="M18" s="1">
        <f t="shared" si="0"/>
        <v>0.9337349397590361</v>
      </c>
      <c r="N18" s="1">
        <f t="shared" si="1"/>
        <v>0.92788365911788062</v>
      </c>
      <c r="O18" s="1">
        <f t="shared" si="2"/>
        <v>0.9337349397590361</v>
      </c>
    </row>
    <row r="19" spans="1:17" ht="18" customHeight="1">
      <c r="A19" t="s">
        <v>16</v>
      </c>
      <c r="B19">
        <f>19</f>
        <v>19</v>
      </c>
      <c r="C19">
        <v>28</v>
      </c>
      <c r="D19">
        <v>34</v>
      </c>
      <c r="E19">
        <v>31</v>
      </c>
      <c r="F19">
        <v>23</v>
      </c>
      <c r="G19">
        <v>25</v>
      </c>
      <c r="H19">
        <v>27</v>
      </c>
      <c r="I19">
        <v>43</v>
      </c>
      <c r="J19">
        <v>27</v>
      </c>
      <c r="K19">
        <v>21</v>
      </c>
      <c r="L19">
        <v>27</v>
      </c>
      <c r="M19" s="1">
        <f t="shared" si="0"/>
        <v>0.91867469879518071</v>
      </c>
      <c r="N19" s="1">
        <f t="shared" si="1"/>
        <v>0.92187897113748951</v>
      </c>
      <c r="O19" s="1">
        <f t="shared" si="2"/>
        <v>0.92187897113748951</v>
      </c>
    </row>
    <row r="20" spans="1:17" ht="18" customHeight="1">
      <c r="A20" t="s">
        <v>17</v>
      </c>
      <c r="B20">
        <f>22</f>
        <v>22</v>
      </c>
      <c r="C20">
        <v>30</v>
      </c>
      <c r="D20">
        <v>35</v>
      </c>
      <c r="E20">
        <v>29</v>
      </c>
      <c r="F20">
        <v>23</v>
      </c>
      <c r="G20">
        <v>20</v>
      </c>
      <c r="H20">
        <v>28</v>
      </c>
      <c r="I20">
        <v>47</v>
      </c>
      <c r="J20">
        <v>28</v>
      </c>
      <c r="K20">
        <v>21</v>
      </c>
      <c r="L20">
        <v>27</v>
      </c>
      <c r="M20" s="1">
        <f t="shared" si="0"/>
        <v>0.9337349397590361</v>
      </c>
      <c r="N20" s="1">
        <f t="shared" si="1"/>
        <v>0.93184407409821979</v>
      </c>
      <c r="O20" s="1">
        <f t="shared" si="2"/>
        <v>0.9337349397590361</v>
      </c>
      <c r="P20" t="s">
        <v>67</v>
      </c>
    </row>
    <row r="21" spans="1:17" ht="18" customHeight="1">
      <c r="A21" t="s">
        <v>18</v>
      </c>
      <c r="B21">
        <f>23</f>
        <v>23</v>
      </c>
      <c r="C21">
        <v>29</v>
      </c>
      <c r="D21">
        <v>30</v>
      </c>
      <c r="E21">
        <v>28</v>
      </c>
      <c r="F21">
        <v>0</v>
      </c>
      <c r="G21">
        <v>20</v>
      </c>
      <c r="H21">
        <v>27</v>
      </c>
      <c r="I21">
        <v>33</v>
      </c>
      <c r="J21">
        <v>27</v>
      </c>
      <c r="K21">
        <v>21</v>
      </c>
      <c r="L21">
        <v>27</v>
      </c>
      <c r="M21" s="1">
        <f t="shared" si="0"/>
        <v>0.79819277108433739</v>
      </c>
      <c r="N21" s="1">
        <f t="shared" si="1"/>
        <v>0.80399149395828717</v>
      </c>
      <c r="O21" s="1">
        <f t="shared" si="2"/>
        <v>0.80399149395828717</v>
      </c>
      <c r="P21" t="s">
        <v>72</v>
      </c>
    </row>
    <row r="22" spans="1:17" ht="18" customHeight="1">
      <c r="A22" t="s">
        <v>19</v>
      </c>
      <c r="B22">
        <f>19</f>
        <v>19</v>
      </c>
      <c r="C22">
        <v>30</v>
      </c>
      <c r="D22">
        <v>34</v>
      </c>
      <c r="E22">
        <v>31</v>
      </c>
      <c r="F22">
        <v>25</v>
      </c>
      <c r="G22">
        <v>24</v>
      </c>
      <c r="H22">
        <v>27</v>
      </c>
      <c r="I22">
        <v>48</v>
      </c>
      <c r="J22">
        <v>30</v>
      </c>
      <c r="K22">
        <v>22</v>
      </c>
      <c r="L22">
        <v>29</v>
      </c>
      <c r="M22" s="1">
        <f t="shared" si="0"/>
        <v>0.96084337349397586</v>
      </c>
      <c r="N22" s="1">
        <f t="shared" si="1"/>
        <v>0.95898141486706789</v>
      </c>
      <c r="O22" s="1">
        <f t="shared" si="2"/>
        <v>0.96084337349397586</v>
      </c>
    </row>
    <row r="23" spans="1:17" ht="18" customHeight="1">
      <c r="A23" t="s">
        <v>20</v>
      </c>
      <c r="B23">
        <f>21</f>
        <v>21</v>
      </c>
      <c r="C23">
        <v>30</v>
      </c>
      <c r="D23">
        <v>23</v>
      </c>
      <c r="E23">
        <v>27</v>
      </c>
      <c r="F23">
        <v>18</v>
      </c>
      <c r="G23">
        <v>23</v>
      </c>
      <c r="H23">
        <v>23</v>
      </c>
      <c r="I23">
        <v>48</v>
      </c>
      <c r="J23">
        <v>31</v>
      </c>
      <c r="K23">
        <v>21</v>
      </c>
      <c r="L23">
        <v>29</v>
      </c>
      <c r="M23" s="1">
        <f t="shared" si="0"/>
        <v>0.88554216867469882</v>
      </c>
      <c r="N23" s="1">
        <f t="shared" si="1"/>
        <v>0.88383081072050629</v>
      </c>
      <c r="O23" s="1">
        <f t="shared" si="2"/>
        <v>0.88554216867469882</v>
      </c>
    </row>
    <row r="24" spans="1:17" ht="18" customHeight="1">
      <c r="A24" t="s">
        <v>21</v>
      </c>
      <c r="B24">
        <f>19</f>
        <v>19</v>
      </c>
      <c r="C24">
        <v>30</v>
      </c>
      <c r="D24">
        <v>35</v>
      </c>
      <c r="E24">
        <v>31</v>
      </c>
      <c r="F24">
        <v>23</v>
      </c>
      <c r="G24">
        <v>24</v>
      </c>
      <c r="H24">
        <v>28</v>
      </c>
      <c r="I24">
        <v>48</v>
      </c>
      <c r="J24">
        <v>34</v>
      </c>
      <c r="K24">
        <v>21</v>
      </c>
      <c r="L24">
        <v>17</v>
      </c>
      <c r="M24" s="1">
        <f t="shared" si="0"/>
        <v>0.9337349397590361</v>
      </c>
      <c r="N24" s="1">
        <f t="shared" si="1"/>
        <v>0.92900813071921062</v>
      </c>
      <c r="O24" s="1">
        <f t="shared" si="2"/>
        <v>0.9337349397590361</v>
      </c>
      <c r="P24" t="s">
        <v>57</v>
      </c>
    </row>
    <row r="25" spans="1:17" ht="18" customHeight="1">
      <c r="A25" t="s">
        <v>22</v>
      </c>
      <c r="B25">
        <f>21</f>
        <v>21</v>
      </c>
      <c r="C25">
        <v>30</v>
      </c>
      <c r="D25">
        <v>30</v>
      </c>
      <c r="E25">
        <v>31</v>
      </c>
      <c r="F25">
        <v>24</v>
      </c>
      <c r="G25">
        <v>20</v>
      </c>
      <c r="H25">
        <v>28</v>
      </c>
      <c r="I25">
        <v>47</v>
      </c>
      <c r="J25">
        <v>33</v>
      </c>
      <c r="K25">
        <v>16</v>
      </c>
      <c r="L25">
        <v>30</v>
      </c>
      <c r="M25" s="1">
        <f t="shared" si="0"/>
        <v>0.9337349397590361</v>
      </c>
      <c r="N25" s="1">
        <f t="shared" si="1"/>
        <v>0.92478771434818796</v>
      </c>
      <c r="O25" s="1">
        <f t="shared" si="2"/>
        <v>0.9337349397590361</v>
      </c>
    </row>
    <row r="26" spans="1:17" ht="18" customHeight="1">
      <c r="A26" t="s">
        <v>23</v>
      </c>
      <c r="B26">
        <f>23</f>
        <v>23</v>
      </c>
      <c r="C26">
        <v>28</v>
      </c>
      <c r="D26">
        <v>25</v>
      </c>
      <c r="E26">
        <v>31</v>
      </c>
      <c r="F26">
        <v>24</v>
      </c>
      <c r="G26">
        <v>17</v>
      </c>
      <c r="H26">
        <v>28</v>
      </c>
      <c r="I26">
        <v>44</v>
      </c>
      <c r="J26">
        <v>34</v>
      </c>
      <c r="K26">
        <v>0</v>
      </c>
      <c r="L26">
        <v>0</v>
      </c>
      <c r="M26" s="1">
        <f t="shared" si="0"/>
        <v>0.76506024096385539</v>
      </c>
      <c r="N26" s="1">
        <f t="shared" si="1"/>
        <v>0.74248751248751244</v>
      </c>
      <c r="O26" s="1">
        <f t="shared" si="2"/>
        <v>0.76506024096385539</v>
      </c>
    </row>
    <row r="27" spans="1:17" ht="18" customHeight="1">
      <c r="A27" t="s">
        <v>24</v>
      </c>
      <c r="B27">
        <f>17</f>
        <v>17</v>
      </c>
      <c r="C27">
        <v>20</v>
      </c>
      <c r="D27">
        <v>26</v>
      </c>
      <c r="E27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f t="shared" si="0"/>
        <v>0.25903614457831325</v>
      </c>
      <c r="N27" s="1">
        <f t="shared" si="1"/>
        <v>0.26278088437976238</v>
      </c>
      <c r="O27" s="1">
        <f>MAX(M27:N27)</f>
        <v>0.26278088437976238</v>
      </c>
      <c r="Q27" t="s">
        <v>57</v>
      </c>
    </row>
    <row r="28" spans="1:17" ht="18" customHeight="1">
      <c r="A28" t="s">
        <v>25</v>
      </c>
      <c r="B28">
        <f>23</f>
        <v>23</v>
      </c>
      <c r="C28">
        <v>30</v>
      </c>
      <c r="D28">
        <v>35</v>
      </c>
      <c r="E28">
        <v>30</v>
      </c>
      <c r="F28">
        <v>23</v>
      </c>
      <c r="G28">
        <v>22</v>
      </c>
      <c r="H28">
        <v>25</v>
      </c>
      <c r="I28">
        <v>48</v>
      </c>
      <c r="J28">
        <v>34</v>
      </c>
      <c r="K28">
        <v>18</v>
      </c>
      <c r="L28">
        <v>27</v>
      </c>
      <c r="M28" s="1">
        <f t="shared" si="0"/>
        <v>0.9487951807228916</v>
      </c>
      <c r="N28" s="1">
        <f t="shared" si="1"/>
        <v>0.94121136927588545</v>
      </c>
      <c r="O28" s="1">
        <f t="shared" si="2"/>
        <v>0.9487951807228916</v>
      </c>
      <c r="P28" t="s">
        <v>66</v>
      </c>
    </row>
    <row r="29" spans="1:17" ht="18" customHeight="1">
      <c r="A29" t="s">
        <v>26</v>
      </c>
      <c r="B29">
        <f>17</f>
        <v>17</v>
      </c>
      <c r="C29">
        <v>30</v>
      </c>
      <c r="D29">
        <v>35</v>
      </c>
      <c r="E29">
        <v>31</v>
      </c>
      <c r="F29">
        <v>22</v>
      </c>
      <c r="G29">
        <v>21</v>
      </c>
      <c r="H29">
        <v>24</v>
      </c>
      <c r="I29">
        <v>42</v>
      </c>
      <c r="J29">
        <v>34</v>
      </c>
      <c r="K29">
        <v>19</v>
      </c>
      <c r="L29">
        <v>27</v>
      </c>
      <c r="M29" s="1">
        <f t="shared" si="0"/>
        <v>0.90963855421686746</v>
      </c>
      <c r="N29" s="1">
        <f t="shared" si="1"/>
        <v>0.90301425316151807</v>
      </c>
      <c r="O29" s="1">
        <f t="shared" si="2"/>
        <v>0.90963855421686746</v>
      </c>
    </row>
    <row r="30" spans="1:17" ht="18" customHeight="1">
      <c r="A30" t="s">
        <v>27</v>
      </c>
      <c r="B30">
        <f>22</f>
        <v>22</v>
      </c>
      <c r="C30">
        <v>30</v>
      </c>
      <c r="D30">
        <v>28</v>
      </c>
      <c r="E30">
        <v>31</v>
      </c>
      <c r="F30">
        <v>22</v>
      </c>
      <c r="G30">
        <v>22</v>
      </c>
      <c r="H30">
        <v>22</v>
      </c>
      <c r="I30">
        <v>44</v>
      </c>
      <c r="J30">
        <v>33</v>
      </c>
      <c r="K30">
        <v>18</v>
      </c>
      <c r="L30">
        <v>29</v>
      </c>
      <c r="M30" s="1">
        <f t="shared" si="0"/>
        <v>0.90662650602409633</v>
      </c>
      <c r="N30" s="1">
        <f t="shared" si="1"/>
        <v>0.90438831827908639</v>
      </c>
      <c r="O30" s="1">
        <f t="shared" si="2"/>
        <v>0.90662650602409633</v>
      </c>
    </row>
    <row r="31" spans="1:17" ht="18" customHeight="1">
      <c r="A31" t="s">
        <v>28</v>
      </c>
      <c r="B31">
        <f>14</f>
        <v>14</v>
      </c>
      <c r="C31">
        <v>26</v>
      </c>
      <c r="D31">
        <v>35</v>
      </c>
      <c r="E31">
        <v>26</v>
      </c>
      <c r="F31">
        <v>21</v>
      </c>
      <c r="G31">
        <v>21</v>
      </c>
      <c r="H31">
        <v>27</v>
      </c>
      <c r="I31">
        <v>42</v>
      </c>
      <c r="J31">
        <v>34</v>
      </c>
      <c r="K31">
        <v>21</v>
      </c>
      <c r="L31">
        <v>28</v>
      </c>
      <c r="M31" s="1">
        <f t="shared" si="0"/>
        <v>0.88855421686746983</v>
      </c>
      <c r="N31" s="1">
        <f t="shared" si="1"/>
        <v>0.88220689315359724</v>
      </c>
      <c r="O31" s="1">
        <f t="shared" si="2"/>
        <v>0.88855421686746983</v>
      </c>
      <c r="P31" t="s">
        <v>67</v>
      </c>
    </row>
    <row r="32" spans="1:17" ht="18" customHeight="1">
      <c r="A32" t="s">
        <v>29</v>
      </c>
      <c r="B32">
        <f>20</f>
        <v>20</v>
      </c>
      <c r="C32">
        <v>20</v>
      </c>
      <c r="D32">
        <v>13</v>
      </c>
      <c r="E32">
        <v>22</v>
      </c>
      <c r="F32">
        <v>19</v>
      </c>
      <c r="G32">
        <v>17</v>
      </c>
      <c r="H32">
        <v>0</v>
      </c>
      <c r="I32">
        <v>0</v>
      </c>
      <c r="J32">
        <v>0</v>
      </c>
      <c r="K32">
        <v>0</v>
      </c>
      <c r="L32">
        <v>0</v>
      </c>
      <c r="M32" s="1">
        <f t="shared" si="0"/>
        <v>0.33433734939759036</v>
      </c>
      <c r="N32" s="1">
        <f t="shared" si="1"/>
        <v>0.36619155505551021</v>
      </c>
      <c r="O32" s="1">
        <f t="shared" si="2"/>
        <v>0.36619155505551021</v>
      </c>
    </row>
    <row r="33" spans="1:18" ht="18" customHeight="1">
      <c r="A33" t="s">
        <v>30</v>
      </c>
      <c r="B33">
        <f>23</f>
        <v>23</v>
      </c>
      <c r="C33">
        <v>23</v>
      </c>
      <c r="D33">
        <v>25</v>
      </c>
      <c r="E33">
        <v>31</v>
      </c>
      <c r="F33">
        <v>23</v>
      </c>
      <c r="G33">
        <v>24</v>
      </c>
      <c r="H33">
        <v>25</v>
      </c>
      <c r="I33">
        <v>46</v>
      </c>
      <c r="J33">
        <v>32</v>
      </c>
      <c r="K33">
        <v>21</v>
      </c>
      <c r="L33">
        <v>31</v>
      </c>
      <c r="M33" s="1">
        <f t="shared" si="0"/>
        <v>0.91566265060240959</v>
      </c>
      <c r="N33" s="1">
        <f t="shared" si="1"/>
        <v>0.91981224657695249</v>
      </c>
      <c r="O33" s="1">
        <f t="shared" si="2"/>
        <v>0.91981224657695249</v>
      </c>
    </row>
    <row r="34" spans="1:18" ht="18" customHeight="1">
      <c r="A34" t="s">
        <v>31</v>
      </c>
      <c r="B34">
        <f>18</f>
        <v>18</v>
      </c>
      <c r="C34">
        <v>28</v>
      </c>
      <c r="D34">
        <v>19</v>
      </c>
      <c r="E34">
        <v>25</v>
      </c>
      <c r="F34">
        <v>21</v>
      </c>
      <c r="G34">
        <v>20</v>
      </c>
      <c r="H34">
        <v>22</v>
      </c>
      <c r="I34">
        <v>31</v>
      </c>
      <c r="J34">
        <v>30</v>
      </c>
      <c r="K34">
        <v>16</v>
      </c>
      <c r="L34">
        <v>30</v>
      </c>
      <c r="M34" s="1">
        <f t="shared" si="0"/>
        <v>0.7831325301204819</v>
      </c>
      <c r="N34" s="1">
        <f t="shared" si="1"/>
        <v>0.79240821364099145</v>
      </c>
      <c r="O34" s="1">
        <f t="shared" si="2"/>
        <v>0.79240821364099145</v>
      </c>
    </row>
    <row r="35" spans="1:18" ht="18" customHeight="1">
      <c r="A35" t="s">
        <v>32</v>
      </c>
      <c r="B35">
        <f>20</f>
        <v>20</v>
      </c>
      <c r="C35">
        <v>28</v>
      </c>
      <c r="D35">
        <v>32</v>
      </c>
      <c r="E35">
        <v>18</v>
      </c>
      <c r="F35">
        <v>20</v>
      </c>
      <c r="G35">
        <v>14</v>
      </c>
      <c r="H35">
        <v>22</v>
      </c>
      <c r="I35">
        <v>48</v>
      </c>
      <c r="J35">
        <v>32</v>
      </c>
      <c r="K35">
        <v>21</v>
      </c>
      <c r="L35">
        <v>27</v>
      </c>
      <c r="M35" s="1">
        <f t="shared" si="0"/>
        <v>0.8493975903614458</v>
      </c>
      <c r="N35" s="1">
        <f t="shared" si="1"/>
        <v>0.83862897216085908</v>
      </c>
      <c r="O35" s="1">
        <f t="shared" si="2"/>
        <v>0.8493975903614458</v>
      </c>
    </row>
    <row r="36" spans="1:18" ht="18" customHeight="1">
      <c r="A36" t="s">
        <v>33</v>
      </c>
      <c r="B36">
        <f>22</f>
        <v>22</v>
      </c>
      <c r="C36">
        <v>25</v>
      </c>
      <c r="D36">
        <v>35</v>
      </c>
      <c r="E36">
        <v>20</v>
      </c>
      <c r="F36">
        <v>16</v>
      </c>
      <c r="G36">
        <v>24</v>
      </c>
      <c r="H36">
        <v>25</v>
      </c>
      <c r="I36">
        <v>48</v>
      </c>
      <c r="J36">
        <v>31</v>
      </c>
      <c r="K36">
        <v>21</v>
      </c>
      <c r="L36">
        <v>31</v>
      </c>
      <c r="M36" s="1">
        <f t="shared" si="0"/>
        <v>0.89759036144578308</v>
      </c>
      <c r="N36" s="1">
        <f t="shared" si="1"/>
        <v>0.89227480244640556</v>
      </c>
      <c r="O36" s="1">
        <f t="shared" si="2"/>
        <v>0.89759036144578308</v>
      </c>
      <c r="R36" t="s">
        <v>60</v>
      </c>
    </row>
    <row r="37" spans="1:18" ht="18" customHeight="1">
      <c r="A37" t="s">
        <v>34</v>
      </c>
      <c r="B37">
        <f>19</f>
        <v>19</v>
      </c>
      <c r="C37">
        <v>29</v>
      </c>
      <c r="D37">
        <v>35</v>
      </c>
      <c r="E37">
        <v>29</v>
      </c>
      <c r="F37">
        <v>22</v>
      </c>
      <c r="G37">
        <v>21</v>
      </c>
      <c r="H37">
        <v>27</v>
      </c>
      <c r="I37">
        <v>42</v>
      </c>
      <c r="J37">
        <v>27</v>
      </c>
      <c r="K37">
        <v>21</v>
      </c>
      <c r="L37">
        <v>30</v>
      </c>
      <c r="M37" s="1">
        <f t="shared" si="0"/>
        <v>0.90963855421686746</v>
      </c>
      <c r="N37" s="1">
        <f t="shared" si="1"/>
        <v>0.91050333064894573</v>
      </c>
      <c r="O37" s="1">
        <f t="shared" si="2"/>
        <v>0.91050333064894573</v>
      </c>
    </row>
    <row r="38" spans="1:18" ht="18" customHeight="1">
      <c r="A38" t="s">
        <v>35</v>
      </c>
      <c r="B38">
        <f>20</f>
        <v>20</v>
      </c>
      <c r="C38">
        <v>28</v>
      </c>
      <c r="D38">
        <v>23</v>
      </c>
      <c r="E38">
        <v>28</v>
      </c>
      <c r="F38">
        <v>21</v>
      </c>
      <c r="G38">
        <v>15</v>
      </c>
      <c r="H38">
        <v>24</v>
      </c>
      <c r="I38">
        <v>40</v>
      </c>
      <c r="J38">
        <v>33</v>
      </c>
      <c r="K38">
        <v>21</v>
      </c>
      <c r="L38">
        <v>30</v>
      </c>
      <c r="M38" s="1">
        <f t="shared" si="0"/>
        <v>0.85240963855421692</v>
      </c>
      <c r="N38" s="1">
        <f t="shared" si="1"/>
        <v>0.85452417120596313</v>
      </c>
      <c r="O38" s="1">
        <f t="shared" si="2"/>
        <v>0.85452417120596313</v>
      </c>
    </row>
    <row r="39" spans="1:18" ht="18" customHeight="1">
      <c r="A39" t="s">
        <v>36</v>
      </c>
      <c r="B39">
        <f>21</f>
        <v>21</v>
      </c>
      <c r="C39">
        <v>29</v>
      </c>
      <c r="D39">
        <v>29</v>
      </c>
      <c r="E39">
        <v>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>
        <f t="shared" si="0"/>
        <v>0.31927710843373491</v>
      </c>
      <c r="N39" s="1">
        <f t="shared" si="1"/>
        <v>0.32538630140313168</v>
      </c>
      <c r="O39" s="1">
        <f t="shared" si="2"/>
        <v>0.32538630140313168</v>
      </c>
      <c r="P39" t="s">
        <v>57</v>
      </c>
    </row>
    <row r="40" spans="1:18" ht="18" customHeight="1">
      <c r="A40" t="s">
        <v>37</v>
      </c>
      <c r="B40">
        <f>23</f>
        <v>23</v>
      </c>
      <c r="C40">
        <v>30</v>
      </c>
      <c r="D40">
        <v>35</v>
      </c>
      <c r="E40">
        <v>31</v>
      </c>
      <c r="F40">
        <v>26</v>
      </c>
      <c r="G40">
        <v>25</v>
      </c>
      <c r="H40">
        <v>27</v>
      </c>
      <c r="I40">
        <v>43</v>
      </c>
      <c r="J40">
        <v>34</v>
      </c>
      <c r="K40">
        <v>17</v>
      </c>
      <c r="L40">
        <v>30</v>
      </c>
      <c r="M40" s="1">
        <f t="shared" si="0"/>
        <v>0.9668674698795181</v>
      </c>
      <c r="N40" s="1">
        <f t="shared" si="1"/>
        <v>0.96703498114788455</v>
      </c>
      <c r="O40" s="1">
        <f t="shared" si="2"/>
        <v>0.96703498114788455</v>
      </c>
    </row>
    <row r="41" spans="1:18" ht="18" customHeight="1">
      <c r="A41" t="s">
        <v>38</v>
      </c>
      <c r="B41">
        <f>23</f>
        <v>23</v>
      </c>
      <c r="C41">
        <v>30</v>
      </c>
      <c r="D41">
        <v>31</v>
      </c>
      <c r="E41">
        <v>31</v>
      </c>
      <c r="F41">
        <v>26</v>
      </c>
      <c r="G41">
        <v>24</v>
      </c>
      <c r="H41">
        <v>28</v>
      </c>
      <c r="I41">
        <v>48</v>
      </c>
      <c r="J41">
        <v>34</v>
      </c>
      <c r="K41">
        <v>20</v>
      </c>
      <c r="L41">
        <v>31</v>
      </c>
      <c r="M41" s="1">
        <f t="shared" si="0"/>
        <v>0.98192771084337349</v>
      </c>
      <c r="N41" s="1">
        <f t="shared" si="1"/>
        <v>0.98164502164502176</v>
      </c>
      <c r="O41" s="1">
        <f t="shared" si="2"/>
        <v>0.98192771084337349</v>
      </c>
    </row>
    <row r="42" spans="1:18" ht="18" customHeight="1">
      <c r="A42" t="s">
        <v>39</v>
      </c>
      <c r="B42">
        <f>22</f>
        <v>22</v>
      </c>
      <c r="C42">
        <v>28</v>
      </c>
      <c r="D42">
        <v>25</v>
      </c>
      <c r="E42">
        <v>30</v>
      </c>
      <c r="F42">
        <v>23</v>
      </c>
      <c r="G42">
        <v>21</v>
      </c>
      <c r="H42">
        <v>25</v>
      </c>
      <c r="I42">
        <v>47</v>
      </c>
      <c r="J42">
        <v>28</v>
      </c>
      <c r="K42">
        <v>20</v>
      </c>
      <c r="L42">
        <v>27</v>
      </c>
      <c r="M42" s="1">
        <f t="shared" si="0"/>
        <v>0.89156626506024095</v>
      </c>
      <c r="N42" s="1">
        <f t="shared" si="1"/>
        <v>0.89230909295033534</v>
      </c>
      <c r="O42" s="1">
        <f t="shared" si="2"/>
        <v>0.89230909295033534</v>
      </c>
      <c r="P42" t="s">
        <v>68</v>
      </c>
    </row>
    <row r="43" spans="1:18" ht="18" customHeight="1">
      <c r="A43" t="s">
        <v>40</v>
      </c>
      <c r="B43">
        <f>21</f>
        <v>21</v>
      </c>
      <c r="C43">
        <v>30</v>
      </c>
      <c r="D43">
        <v>33</v>
      </c>
      <c r="E43">
        <v>30</v>
      </c>
      <c r="F43">
        <v>25</v>
      </c>
      <c r="G43">
        <v>23</v>
      </c>
      <c r="H43">
        <v>28</v>
      </c>
      <c r="I43">
        <v>0</v>
      </c>
      <c r="J43">
        <v>0</v>
      </c>
      <c r="K43">
        <v>0</v>
      </c>
      <c r="L43">
        <v>0</v>
      </c>
      <c r="M43" s="1">
        <f t="shared" si="0"/>
        <v>0.57228915662650603</v>
      </c>
      <c r="N43" s="1">
        <f t="shared" si="1"/>
        <v>0.6095619107400313</v>
      </c>
      <c r="O43" s="1">
        <f t="shared" si="2"/>
        <v>0.6095619107400313</v>
      </c>
    </row>
    <row r="44" spans="1:18" ht="18" customHeight="1">
      <c r="A44" t="s">
        <v>41</v>
      </c>
      <c r="B44">
        <f>17</f>
        <v>17</v>
      </c>
      <c r="C44">
        <v>30</v>
      </c>
      <c r="D44">
        <v>24</v>
      </c>
      <c r="E44">
        <v>28</v>
      </c>
      <c r="F44">
        <v>0</v>
      </c>
      <c r="G44">
        <v>21</v>
      </c>
      <c r="H44">
        <v>25</v>
      </c>
      <c r="I44">
        <v>43</v>
      </c>
      <c r="J44">
        <v>32</v>
      </c>
      <c r="K44">
        <v>16</v>
      </c>
      <c r="L44">
        <v>0</v>
      </c>
      <c r="M44" s="1">
        <f t="shared" si="0"/>
        <v>0.71084337349397586</v>
      </c>
      <c r="N44" s="1">
        <f t="shared" si="1"/>
        <v>0.69634929414836189</v>
      </c>
      <c r="O44" s="1">
        <f t="shared" si="2"/>
        <v>0.71084337349397586</v>
      </c>
      <c r="P44" t="s">
        <v>68</v>
      </c>
    </row>
    <row r="45" spans="1:18" ht="18" customHeight="1">
      <c r="A45" t="s">
        <v>42</v>
      </c>
      <c r="B45">
        <f>21</f>
        <v>21</v>
      </c>
      <c r="C45">
        <v>28</v>
      </c>
      <c r="D45">
        <v>24</v>
      </c>
      <c r="E45">
        <v>28</v>
      </c>
      <c r="F45">
        <v>23</v>
      </c>
      <c r="G45">
        <v>21</v>
      </c>
      <c r="H45">
        <v>22</v>
      </c>
      <c r="I45">
        <v>41</v>
      </c>
      <c r="J45">
        <v>34</v>
      </c>
      <c r="K45">
        <v>21</v>
      </c>
      <c r="L45">
        <v>25</v>
      </c>
      <c r="M45" s="1">
        <f t="shared" si="0"/>
        <v>0.86746987951807231</v>
      </c>
      <c r="N45" s="1">
        <f t="shared" si="1"/>
        <v>0.87329680487815142</v>
      </c>
      <c r="O45" s="1">
        <f t="shared" si="2"/>
        <v>0.87329680487815142</v>
      </c>
    </row>
    <row r="46" spans="1:18" ht="18" customHeight="1">
      <c r="A46" t="s">
        <v>43</v>
      </c>
      <c r="B46">
        <f>23</f>
        <v>23</v>
      </c>
      <c r="C46">
        <v>30</v>
      </c>
      <c r="D46">
        <v>33</v>
      </c>
      <c r="E46">
        <v>31</v>
      </c>
      <c r="F46">
        <v>21</v>
      </c>
      <c r="G46">
        <v>22</v>
      </c>
      <c r="H46">
        <v>28</v>
      </c>
      <c r="I46">
        <v>38</v>
      </c>
      <c r="J46">
        <v>34</v>
      </c>
      <c r="K46">
        <v>21</v>
      </c>
      <c r="L46">
        <v>26</v>
      </c>
      <c r="M46" s="1">
        <f t="shared" si="0"/>
        <v>0.92469879518072284</v>
      </c>
      <c r="N46" s="1">
        <f t="shared" si="1"/>
        <v>0.93281143587595183</v>
      </c>
      <c r="O46" s="1">
        <f t="shared" si="2"/>
        <v>0.93281143587595183</v>
      </c>
    </row>
    <row r="47" spans="1:18" ht="18" customHeight="1">
      <c r="A47" t="s">
        <v>44</v>
      </c>
      <c r="B47">
        <f>22</f>
        <v>22</v>
      </c>
      <c r="C47">
        <v>27</v>
      </c>
      <c r="D47">
        <v>34</v>
      </c>
      <c r="E47">
        <v>30</v>
      </c>
      <c r="F47">
        <v>17</v>
      </c>
      <c r="G47">
        <v>17</v>
      </c>
      <c r="H47">
        <v>25</v>
      </c>
      <c r="I47">
        <v>46</v>
      </c>
      <c r="J47">
        <v>34</v>
      </c>
      <c r="K47">
        <v>21</v>
      </c>
      <c r="L47">
        <v>28</v>
      </c>
      <c r="M47" s="1">
        <f t="shared" si="0"/>
        <v>0.90662650602409633</v>
      </c>
      <c r="N47" s="1">
        <f t="shared" si="1"/>
        <v>0.89854133477555631</v>
      </c>
      <c r="O47" s="1">
        <f t="shared" si="2"/>
        <v>0.90662650602409633</v>
      </c>
    </row>
    <row r="48" spans="1:18" ht="18" customHeight="1">
      <c r="A48" t="s">
        <v>53</v>
      </c>
      <c r="B48">
        <v>23</v>
      </c>
      <c r="C48">
        <v>30</v>
      </c>
      <c r="D48">
        <v>35</v>
      </c>
      <c r="E48">
        <v>31</v>
      </c>
      <c r="F48">
        <v>26</v>
      </c>
      <c r="G48">
        <v>25</v>
      </c>
      <c r="H48">
        <v>28</v>
      </c>
      <c r="I48">
        <v>48</v>
      </c>
      <c r="J48">
        <v>34</v>
      </c>
      <c r="K48">
        <v>21</v>
      </c>
      <c r="L48">
        <v>31</v>
      </c>
      <c r="M48">
        <f>SUM(B48:L48)</f>
        <v>332</v>
      </c>
      <c r="N48" s="1" t="s">
        <v>64</v>
      </c>
      <c r="O48" s="1">
        <f>AVERAGE(O2:O47)</f>
        <v>0.80104826776954763</v>
      </c>
    </row>
    <row r="49" spans="14:15">
      <c r="N49" t="s">
        <v>65</v>
      </c>
      <c r="O49" s="1">
        <f>STDEV(O2:O47)</f>
        <v>0.2027360729250344</v>
      </c>
    </row>
  </sheetData>
  <dataConsolidate/>
  <phoneticPr fontId="1" type="noConversion"/>
  <pageMargins left="0.74803149606299213" right="0.74803149606299213" top="0.98425196850393704" bottom="0.98425196850393704" header="0.51181102362204722" footer="0.51181102362204722"/>
  <pageSetup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PCCXCRMFaculty.xls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Ruye Wang</dc:creator>
  <cp:lastModifiedBy>jane</cp:lastModifiedBy>
  <cp:lastPrinted>2008-02-25T19:48:21Z</cp:lastPrinted>
  <dcterms:created xsi:type="dcterms:W3CDTF">2008-01-24T19:16:20Z</dcterms:created>
  <dcterms:modified xsi:type="dcterms:W3CDTF">2008-05-10T23:32:21Z</dcterms:modified>
</cp:coreProperties>
</file>